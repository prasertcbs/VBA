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rasert\1drv\Excel_Instructor\"/>
    </mc:Choice>
  </mc:AlternateContent>
  <xr:revisionPtr revIDLastSave="0" documentId="13_ncr:1_{80E0DE7F-DBDA-48D1-A6AC-7BD7984F070A}" xr6:coauthVersionLast="47" xr6:coauthVersionMax="47" xr10:uidLastSave="{00000000-0000-0000-0000-000000000000}"/>
  <bookViews>
    <workbookView xWindow="1125" yWindow="1125" windowWidth="21600" windowHeight="11385" tabRatio="498" xr2:uid="{00000000-000D-0000-FFFF-FFFF00000000}"/>
  </bookViews>
  <sheets>
    <sheet name="Sheet1" sheetId="8" r:id="rId1"/>
    <sheet name="Unicode" sheetId="5" r:id="rId2"/>
    <sheet name="trim non breaking space" sheetId="6" r:id="rId3"/>
    <sheet name="remove non numerical char" sheetId="7" r:id="rId4"/>
  </sheets>
  <functionGroups builtInGroupCount="19"/>
  <definedNames>
    <definedName name="_data" localSheetId="1">Unicode!$A$1:$F$13</definedName>
    <definedName name="_data">#REF!</definedName>
    <definedName name="_xlnm._FilterDatabase" localSheetId="1" hidden="1">Unicode!$C$1:$C$13</definedName>
    <definedName name="_xlnm.Extract" localSheetId="1">Unicode!#REF!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5" i="8" l="1" a="1"/>
  <c r="G15" i="8" s="1"/>
  <c r="G14" i="8" a="1"/>
  <c r="G14" i="8" s="1"/>
  <c r="D4" i="7" a="1"/>
  <c r="D5" i="7" a="1"/>
  <c r="D3" i="7" a="1"/>
  <c r="D2" i="7" a="1"/>
  <c r="D10" i="8" a="1"/>
  <c r="D7" i="8" a="1"/>
  <c r="D9" i="8" a="1"/>
  <c r="D5" i="8" a="1"/>
  <c r="D4" i="8" a="1"/>
  <c r="D8" i="8" a="1"/>
  <c r="C17" i="8" a="1"/>
  <c r="D11" i="8" a="1"/>
  <c r="D6" i="8" a="1"/>
  <c r="D12" i="8" a="1"/>
  <c r="C12" i="8"/>
  <c r="C11" i="8"/>
  <c r="C8" i="8"/>
  <c r="C7" i="8"/>
  <c r="C5" i="8"/>
  <c r="C9" i="8"/>
  <c r="C6" i="8"/>
  <c r="C4" i="8"/>
  <c r="C10" i="8"/>
  <c r="J6" i="8"/>
  <c r="D3" i="7" l="1"/>
  <c r="D5" i="7"/>
  <c r="D4" i="7"/>
  <c r="D2" i="7"/>
  <c r="D5" i="8"/>
  <c r="D12" i="8"/>
  <c r="D7" i="8"/>
  <c r="D10" i="8"/>
  <c r="D6" i="8"/>
  <c r="I6" i="8" s="1" a="1"/>
  <c r="I6" i="8" s="1"/>
  <c r="D11" i="8"/>
  <c r="C17" i="8"/>
  <c r="D8" i="8"/>
  <c r="D4" i="8"/>
  <c r="D9" i="8"/>
  <c r="C17" i="5" l="1"/>
  <c r="E4" i="7" l="1"/>
  <c r="E3" i="7"/>
  <c r="G3" i="5"/>
  <c r="G4" i="5"/>
  <c r="G5" i="5"/>
  <c r="G6" i="5"/>
  <c r="G7" i="5"/>
  <c r="G8" i="5"/>
  <c r="G9" i="5"/>
  <c r="G10" i="5"/>
  <c r="G11" i="5"/>
  <c r="G12" i="5"/>
  <c r="G13" i="5"/>
  <c r="G2" i="5"/>
  <c r="D5" i="6"/>
  <c r="I1" i="5"/>
  <c r="D6" i="6"/>
  <c r="I8" i="5"/>
  <c r="I7" i="5"/>
  <c r="B5" i="6"/>
  <c r="E6" i="6"/>
  <c r="I10" i="5"/>
  <c r="F5" i="6"/>
  <c r="I3" i="5"/>
  <c r="I12" i="5"/>
  <c r="I11" i="5"/>
  <c r="I6" i="5"/>
  <c r="I9" i="5"/>
  <c r="F6" i="6"/>
  <c r="I4" i="5"/>
  <c r="I2" i="5"/>
  <c r="C15" i="5"/>
  <c r="E5" i="6"/>
  <c r="C5" i="6"/>
  <c r="I5" i="5"/>
  <c r="C6" i="6"/>
  <c r="I13" i="5"/>
  <c r="G6" i="6"/>
  <c r="G5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<sst xmlns="http://schemas.openxmlformats.org/spreadsheetml/2006/main" count="67" uniqueCount="51">
  <si>
    <t>ชื่อ</t>
  </si>
  <si>
    <t>เพศ</t>
  </si>
  <si>
    <t>ตำแหน่ง</t>
  </si>
  <si>
    <t>เงินเดือน</t>
  </si>
  <si>
    <t>M</t>
  </si>
  <si>
    <t>ผู้จัดการ</t>
  </si>
  <si>
    <t>F</t>
  </si>
  <si>
    <t>เจ้าหน้าที่อาวุโส</t>
  </si>
  <si>
    <t>ผู้ช่วยผู้จัดการ</t>
  </si>
  <si>
    <t>ผู้ชำนาญงาน</t>
  </si>
  <si>
    <t>พนักงานระดับต้น</t>
  </si>
  <si>
    <t>พลอยไพลิน</t>
  </si>
  <si>
    <t>ปลายฟ้า</t>
  </si>
  <si>
    <t>เพียงดาว</t>
  </si>
  <si>
    <t>ทอรุ้ง</t>
  </si>
  <si>
    <t>ฟ้าใส</t>
  </si>
  <si>
    <t>กอหญ้า</t>
  </si>
  <si>
    <t>เกนหลง</t>
  </si>
  <si>
    <t>เขมชาติ</t>
  </si>
  <si>
    <t>เอื้อ</t>
  </si>
  <si>
    <t>ต้นน้ำ</t>
  </si>
  <si>
    <t>เพชร</t>
  </si>
  <si>
    <t>โบนัส</t>
  </si>
  <si>
    <t>พนักงานขาย</t>
  </si>
  <si>
    <t>สินเชื่อ</t>
  </si>
  <si>
    <t>เอกชาติ</t>
  </si>
  <si>
    <t>วันเริ่มงาน</t>
  </si>
  <si>
    <t>วันเกิด</t>
  </si>
  <si>
    <t>สินทรัพย์รวม</t>
  </si>
  <si>
    <t>374,738.12  </t>
  </si>
  <si>
    <t>395,573.14  </t>
  </si>
  <si>
    <t>440,435.81  </t>
  </si>
  <si>
    <t>465,822.63  </t>
  </si>
  <si>
    <t>=xtrim()</t>
  </si>
  <si>
    <t>"เอกชาติ","M","ผู้จัดการ",31231,36019,200000,600000</t>
  </si>
  <si>
    <t>re</t>
  </si>
  <si>
    <t>375USD</t>
  </si>
  <si>
    <t>$12,780.75</t>
  </si>
  <si>
    <t>€12.780,75</t>
  </si>
  <si>
    <t>฿123,456</t>
  </si>
  <si>
    <t>TextSplit function (VBA)</t>
  </si>
  <si>
    <t>split string to array of character</t>
  </si>
  <si>
    <t>2020-8-24</t>
  </si>
  <si>
    <t>string + 0 -&gt; convert string to number</t>
  </si>
  <si>
    <t>2-1-30</t>
  </si>
  <si>
    <t>Peter Parker</t>
  </si>
  <si>
    <t>อันดา ฟ้าใส</t>
  </si>
  <si>
    <t>jan;feb;mar;apr;may;jun</t>
  </si>
  <si>
    <t>2020-08-18T19:28:35</t>
  </si>
  <si>
    <t>world</t>
  </si>
  <si>
    <t>flower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</si>
</sst>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64" formatCode="#,##0.00,,&quot;m&quot;_);[Red]\(#,##0.00,,&quot;m&quot;\);_(* &quot;-&quot;??_);_(@_)"/>
    <numFmt numFmtId="165" formatCode="0.00%_);[Red]\(0.00%\)"/>
    <numFmt numFmtId="166" formatCode="&quot;  &quot;@"/>
    <numFmt numFmtId="167" formatCode="&quot;   &quot;@"/>
    <numFmt numFmtId="168" formatCode="#,##0.0000_);[Red]\(#,##0.0000\)"/>
    <numFmt numFmtId="169" formatCode="#,##0,,_);[Red]\(#,##0,,\)"/>
    <numFmt numFmtId="170" formatCode="#,##0,,&quot;m&quot;_);[Red]\(#,##0,,&quot;m&quot;\)"/>
    <numFmt numFmtId="171" formatCode="#,##0.00,,_);[Red]\(#,##0.00,,\)"/>
    <numFmt numFmtId="172" formatCode="@_)"/>
    <numFmt numFmtId="173" formatCode="[$-1070000]d\ mmm\ yyyy_);@_)"/>
    <numFmt numFmtId="174" formatCode="[$-D07041E]#,##0.00_);@_)"/>
    <numFmt numFmtId="175" formatCode="General_)"/>
    <numFmt numFmtId="176" formatCode="#,##0_);[Red]\-#,##0_)"/>
    <numFmt numFmtId="177" formatCode="#,##0.00_);[Red]\-#,##0.00_)"/>
    <numFmt numFmtId="178" formatCode="[$-409]d\-mmm\-yy_);@_)"/>
    <numFmt numFmtId="179" formatCode="[$-409]d\-mmm\-yy;@"/>
    <numFmt numFmtId="180" formatCode="[$-107041E]d\ mmm\ yy;@"/>
  </numFmts>
  <fonts count="20">
    <font>
      <sz val="11"/>
      <color theme="1" tint="0.34998626667073579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 tint="0.14996795556505021"/>
      <name val="Calibri"/>
      <family val="2"/>
      <scheme val="minor"/>
    </font>
    <font>
      <sz val="11"/>
      <color theme="1" tint="0.24994659260841701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15"/>
      <color theme="3"/>
      <name val="Calibri"/>
      <family val="2"/>
      <charset val="222"/>
      <scheme val="minor"/>
    </font>
    <font>
      <sz val="13"/>
      <color theme="3"/>
      <name val="Calibri"/>
      <family val="2"/>
      <charset val="222"/>
      <scheme val="minor"/>
    </font>
    <font>
      <sz val="11"/>
      <color theme="3"/>
      <name val="Calibri"/>
      <family val="2"/>
      <charset val="222"/>
      <scheme val="minor"/>
    </font>
    <font>
      <sz val="11"/>
      <color theme="0" tint="-0.499984740745262"/>
      <name val="Calibri"/>
      <family val="2"/>
      <scheme val="minor"/>
    </font>
    <font>
      <sz val="11"/>
      <color rgb="FFFA7D00"/>
      <name val="Calibri"/>
      <family val="2"/>
    </font>
    <font>
      <sz val="11"/>
      <color theme="1" tint="0.24994659260841701"/>
      <name val="Calibri"/>
      <family val="2"/>
    </font>
    <font>
      <sz val="11"/>
      <color rgb="FF626262"/>
      <name val="Calibri"/>
      <family val="2"/>
    </font>
    <font>
      <sz val="11"/>
      <color rgb="FF728E3A"/>
      <name val="Calibri"/>
      <family val="2"/>
    </font>
    <font>
      <sz val="11"/>
      <color rgb="FF8064A2"/>
      <name val="Calibri"/>
      <family val="2"/>
    </font>
    <font>
      <sz val="11"/>
      <name val="Calibri"/>
      <family val="2"/>
      <charset val="222"/>
      <scheme val="minor"/>
    </font>
    <font>
      <sz val="18"/>
      <color theme="3"/>
      <name val="Cambria"/>
      <family val="2"/>
      <scheme val="maj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theme="5" tint="0.39994506668294322"/>
      </top>
      <bottom style="double">
        <color theme="5" tint="0.39994506668294322"/>
      </bottom>
      <diagonal/>
    </border>
    <border>
      <left style="dashed">
        <color theme="0" tint="-0.499984740745262"/>
      </left>
      <right style="dashed">
        <color theme="0" tint="-0.499984740745262"/>
      </right>
      <top style="dashed">
        <color theme="0" tint="-0.499984740745262"/>
      </top>
      <bottom style="dashed">
        <color theme="0" tint="-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thick">
        <color theme="9"/>
      </bottom>
      <diagonal/>
    </border>
  </borders>
  <cellStyleXfs count="27">
    <xf numFmtId="0" fontId="0" fillId="0" borderId="0"/>
    <xf numFmtId="0" fontId="16" fillId="0" borderId="0" applyNumberFormat="0" applyFill="0" applyBorder="0" applyAlignment="0">
      <protection locked="0"/>
    </xf>
    <xf numFmtId="0" fontId="13" fillId="0" borderId="0" applyNumberFormat="0" applyFill="0" applyBorder="0" applyAlignment="0"/>
    <xf numFmtId="0" fontId="17" fillId="0" borderId="0" applyNumberFormat="0" applyFill="0" applyBorder="0" applyAlignment="0"/>
    <xf numFmtId="171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15" fillId="0" borderId="0" applyNumberForma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68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0" fontId="14" fillId="2" borderId="2" applyNumberFormat="0" applyAlignment="0" applyProtection="0"/>
    <xf numFmtId="0" fontId="14" fillId="0" borderId="1" applyNumberFormat="0" applyFill="0" applyAlignment="0" applyProtection="0"/>
    <xf numFmtId="172" fontId="6" fillId="0" borderId="0" applyFont="0" applyFill="0" applyBorder="0" applyProtection="0">
      <alignment horizontal="right"/>
    </xf>
    <xf numFmtId="173" fontId="6" fillId="0" borderId="0" applyFont="0" applyFill="0" applyBorder="0" applyAlignment="0" applyProtection="0"/>
    <xf numFmtId="174" fontId="6" fillId="0" borderId="0"/>
    <xf numFmtId="175" fontId="7" fillId="0" borderId="0" applyNumberFormat="0" applyFill="0" applyBorder="0" applyAlignment="0" applyProtection="0"/>
    <xf numFmtId="0" fontId="9" fillId="0" borderId="5" applyNumberFormat="0" applyFill="0" applyAlignment="0" applyProtection="0"/>
    <xf numFmtId="0" fontId="11" fillId="0" borderId="3" applyNumberFormat="0" applyFill="0" applyAlignment="0" applyProtection="0"/>
    <xf numFmtId="0" fontId="10" fillId="0" borderId="4" applyNumberFormat="0" applyFill="0" applyAlignment="0" applyProtection="0"/>
    <xf numFmtId="178" fontId="8" fillId="0" borderId="0" applyFont="0" applyFill="0" applyBorder="0" applyAlignment="0" applyProtection="0"/>
    <xf numFmtId="175" fontId="12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13">
    <xf numFmtId="0" fontId="0" fillId="0" borderId="0" xfId="0"/>
    <xf numFmtId="0" fontId="0" fillId="0" borderId="0" xfId="0" applyFill="1"/>
    <xf numFmtId="176" fontId="0" fillId="0" borderId="0" xfId="9" applyFont="1"/>
    <xf numFmtId="0" fontId="18" fillId="0" borderId="3" xfId="22" applyFont="1"/>
    <xf numFmtId="172" fontId="18" fillId="0" borderId="3" xfId="17" applyFont="1" applyBorder="1">
      <alignment horizontal="right"/>
    </xf>
    <xf numFmtId="0" fontId="0" fillId="0" borderId="0" xfId="9" applyNumberFormat="1" applyFont="1"/>
    <xf numFmtId="179" fontId="0" fillId="0" borderId="0" xfId="0" applyNumberFormat="1"/>
    <xf numFmtId="180" fontId="0" fillId="0" borderId="0" xfId="0" applyNumberFormat="1"/>
    <xf numFmtId="2" fontId="0" fillId="0" borderId="0" xfId="0" applyNumberFormat="1"/>
    <xf numFmtId="0" fontId="19" fillId="0" borderId="0" xfId="26" quotePrefix="1"/>
    <xf numFmtId="0" fontId="0" fillId="0" borderId="0" xfId="0" quotePrefix="1"/>
    <xf numFmtId="0" fontId="14" fillId="2" borderId="2" xfId="15"/>
    <xf numFmtId="3" fontId="0" fillId="0" borderId="0" xfId="0" applyNumberFormat="1"/>
  </cellXfs>
  <cellStyles count="27">
    <cellStyle name="Calculation" xfId="2" builtinId="22" customBuiltin="1"/>
    <cellStyle name="Check Cell" xfId="15" builtinId="23" customBuiltin="1"/>
    <cellStyle name="Comma (0)" xfId="9" xr:uid="{00000000-0005-0000-0000-000002000000}"/>
    <cellStyle name="Comma (2 th)" xfId="19" xr:uid="{00000000-0005-0000-0000-000003000000}"/>
    <cellStyle name="Comma (2)" xfId="10" xr:uid="{00000000-0005-0000-0000-000004000000}"/>
    <cellStyle name="Comma (4)" xfId="11" xr:uid="{00000000-0005-0000-0000-000005000000}"/>
    <cellStyle name="Darker" xfId="20" xr:uid="{00000000-0005-0000-0000-000006000000}"/>
    <cellStyle name="Date (en short)" xfId="24" xr:uid="{00000000-0005-0000-0000-000007000000}"/>
    <cellStyle name="Date (th short)" xfId="18" xr:uid="{00000000-0005-0000-0000-000008000000}"/>
    <cellStyle name="Explanatory Text" xfId="8" builtinId="53" customBuiltin="1"/>
    <cellStyle name="Heading 1" xfId="21" builtinId="16" customBuiltin="1"/>
    <cellStyle name="Heading 2" xfId="23" builtinId="17" customBuiltin="1"/>
    <cellStyle name="Heading 3" xfId="22" builtinId="18" customBuiltin="1"/>
    <cellStyle name="Indent 2" xfId="13" xr:uid="{00000000-0005-0000-0000-00000D000000}"/>
    <cellStyle name="Indent 3" xfId="14" xr:uid="{00000000-0005-0000-0000-00000E000000}"/>
    <cellStyle name="Input" xfId="1" builtinId="20" customBuiltin="1"/>
    <cellStyle name="Lighter" xfId="25" xr:uid="{00000000-0005-0000-0000-000010000000}"/>
    <cellStyle name="Million (0)" xfId="5" xr:uid="{00000000-0005-0000-0000-000011000000}"/>
    <cellStyle name="Million (0m)" xfId="6" xr:uid="{00000000-0005-0000-0000-000012000000}"/>
    <cellStyle name="Million (2)" xfId="4" xr:uid="{00000000-0005-0000-0000-000013000000}"/>
    <cellStyle name="Million (2m)" xfId="7" xr:uid="{00000000-0005-0000-0000-000014000000}"/>
    <cellStyle name="Normal" xfId="0" builtinId="0" customBuiltin="1"/>
    <cellStyle name="Output" xfId="3" builtinId="21" customBuiltin="1"/>
    <cellStyle name="Percent 2" xfId="12" xr:uid="{00000000-0005-0000-0000-000017000000}"/>
    <cellStyle name="Right" xfId="17" xr:uid="{00000000-0005-0000-0000-000018000000}"/>
    <cellStyle name="Title" xfId="26" builtinId="15"/>
    <cellStyle name="Total" xfId="16" builtinId="25" customBuiltin="1"/>
  </cellStyles>
  <dxfs count="0"/>
  <tableStyles count="0" defaultTableStyle="TableStyleMedium9" defaultPivotStyle="PivotStyleLight16"/>
  <colors>
    <mruColors>
      <color rgb="FF8064A2"/>
      <color rgb="FF626262"/>
      <color rgb="FF4F81BD"/>
      <color rgb="FFFA7D00"/>
      <color rgb="FF728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57352-898A-4CB3-8105-B6497D751064}">
  <sheetPr codeName="Sheet4">
    <pageSetUpPr autoPageBreaks="0"/>
  </sheetPr>
  <dimension ref="A1:J17"/>
  <sheetViews>
    <sheetView tabSelected="1" zoomScaleNormal="100" zoomScalePageLayoutView="70" workbookViewId="0">
      <selection activeCell="D4" sqref="D4"/>
    </sheetView>
  </sheetViews>
  <sheetFormatPr defaultRowHeight="15"/>
  <cols>
    <col min="2" max="2" width="26.42578125" customWidth="1"/>
    <col min="3" max="3" width="24" customWidth="1"/>
    <col min="4" max="4" width="10.42578125" bestFit="1" customWidth="1"/>
  </cols>
  <sheetData>
    <row r="1" spans="1:10">
      <c r="A1" t="s">
        <v>40</v>
      </c>
    </row>
    <row r="2" spans="1:10">
      <c r="A2" t="s">
        <v>41</v>
      </c>
    </row>
    <row r="4" spans="1:10">
      <c r="B4" s="10" t="s">
        <v>42</v>
      </c>
      <c r="C4" t="str">
        <f t="shared" ref="C4:C7" ca="1" si="0">_xlfn.FORMULATEXT(D4)</f>
        <v>=textsplit(B4,"-")</v>
      </c>
      <c r="D4" t="str" cm="1">
        <f t="array" ref="D4:F4">textsplit(B4,"-")</f>
        <v>2020</v>
      </c>
      <c r="E4" t="str">
        <v>8</v>
      </c>
      <c r="F4" t="str">
        <v>24</v>
      </c>
    </row>
    <row r="5" spans="1:10">
      <c r="B5" s="10" t="s">
        <v>42</v>
      </c>
      <c r="C5" t="str">
        <f t="shared" ca="1" si="0"/>
        <v>=textsplit(B5,"-")+0</v>
      </c>
      <c r="D5" cm="1">
        <f t="array" ref="D5:F5">textsplit(B5,"-")+0</f>
        <v>2020</v>
      </c>
      <c r="E5">
        <v>8</v>
      </c>
      <c r="F5">
        <v>24</v>
      </c>
      <c r="H5" t="s">
        <v>43</v>
      </c>
    </row>
    <row r="6" spans="1:10">
      <c r="B6" s="10" t="s">
        <v>44</v>
      </c>
      <c r="C6" t="str">
        <f t="shared" ca="1" si="0"/>
        <v>=textsplit(B6,"-")+0</v>
      </c>
      <c r="D6" cm="1">
        <f t="array" ref="D6:F6">textsplit(B6,"-")+0</f>
        <v>2</v>
      </c>
      <c r="E6">
        <v>1</v>
      </c>
      <c r="F6">
        <v>30</v>
      </c>
      <c r="I6" cm="1">
        <f t="array" ref="I6">SUM(_xlfn.ANCHORARRAY(D6)*{400,100,1})</f>
        <v>930</v>
      </c>
      <c r="J6" t="str">
        <f ca="1">_xlfn.FORMULATEXT(I6)</f>
        <v>=SUM(D6#*{400,100,1})</v>
      </c>
    </row>
    <row r="7" spans="1:10">
      <c r="B7" t="s">
        <v>45</v>
      </c>
      <c r="C7" t="str">
        <f t="shared" ca="1" si="0"/>
        <v>=textsplit(B7," ")</v>
      </c>
      <c r="D7" t="str" cm="1">
        <f t="array" ref="D7:E7">textsplit(B7," ")</f>
        <v>Peter</v>
      </c>
      <c r="E7" t="str">
        <v>Parker</v>
      </c>
    </row>
    <row r="8" spans="1:10">
      <c r="B8" t="s">
        <v>46</v>
      </c>
      <c r="C8" t="str">
        <f ca="1">_xlfn.FORMULATEXT(D8)</f>
        <v>=textsplit(B8," ")</v>
      </c>
      <c r="D8" t="str" cm="1">
        <f t="array" ref="D8:E8">textsplit(B8," ")</f>
        <v>อันดา</v>
      </c>
      <c r="E8" t="str">
        <v>ฟ้าใส</v>
      </c>
    </row>
    <row r="9" spans="1:10">
      <c r="B9" t="s">
        <v>47</v>
      </c>
      <c r="C9" t="str">
        <f ca="1">_xlfn.FORMULATEXT(D9)</f>
        <v>=textsplit(B9,";")</v>
      </c>
      <c r="D9" t="str" cm="1">
        <f t="array" ref="D9:I9">textsplit(B9,";")</f>
        <v>jan</v>
      </c>
      <c r="E9" t="str">
        <v>feb</v>
      </c>
      <c r="F9" t="str">
        <v>mar</v>
      </c>
      <c r="G9" t="str">
        <v>apr</v>
      </c>
      <c r="H9" t="str">
        <v>may</v>
      </c>
      <c r="I9" t="str">
        <v>jun</v>
      </c>
    </row>
    <row r="10" spans="1:10">
      <c r="B10" t="s">
        <v>48</v>
      </c>
      <c r="C10" t="str">
        <f ca="1">_xlfn.FORMULATEXT(D10)</f>
        <v>=textsplit(B10,"T")</v>
      </c>
      <c r="D10" t="str" cm="1">
        <f t="array" ref="D10:E10">textsplit(B10,"T")</f>
        <v>2020-08-18</v>
      </c>
      <c r="E10" t="str">
        <v>19:28:35</v>
      </c>
    </row>
    <row r="11" spans="1:10">
      <c r="B11" t="s">
        <v>49</v>
      </c>
      <c r="C11" t="str">
        <f ca="1">_xlfn.FORMULATEXT(D11)</f>
        <v>=textsplit(B11,"")</v>
      </c>
      <c r="D11" t="str" cm="1">
        <f t="array" ref="D11:H11">textsplit(B11,"")</f>
        <v>w</v>
      </c>
      <c r="E11" t="str">
        <v>o</v>
      </c>
      <c r="F11" t="str">
        <v>r</v>
      </c>
      <c r="G11" t="str">
        <v>l</v>
      </c>
      <c r="H11" t="str">
        <v>d</v>
      </c>
    </row>
    <row r="12" spans="1:10">
      <c r="B12" t="s">
        <v>50</v>
      </c>
      <c r="C12" t="str">
        <f ca="1">_xlfn.FORMULATEXT(D12)</f>
        <v>=UPPER(textsplit(B12))</v>
      </c>
      <c r="D12" t="str" cm="1">
        <f t="array" ref="D12:I12">UPPER(textsplit(B12))</f>
        <v>F</v>
      </c>
      <c r="E12" t="str">
        <v>L</v>
      </c>
      <c r="F12" t="str">
        <v>O</v>
      </c>
      <c r="G12" t="str">
        <v>W</v>
      </c>
      <c r="H12" t="str">
        <v>E</v>
      </c>
      <c r="I12" t="str">
        <v>R</v>
      </c>
    </row>
    <row r="14" spans="1:10">
      <c r="C14">
        <v>10</v>
      </c>
      <c r="D14">
        <v>5</v>
      </c>
      <c r="E14">
        <v>1</v>
      </c>
      <c r="G14" cm="1">
        <f t="array" ref="G14">SUM(C14:E14*2)</f>
        <v>32</v>
      </c>
    </row>
    <row r="15" spans="1:10">
      <c r="G15" cm="1">
        <f t="array" ref="G15:I15">C14:E14*3</f>
        <v>30</v>
      </c>
      <c r="H15">
        <v>15</v>
      </c>
      <c r="I15">
        <v>3</v>
      </c>
    </row>
    <row r="17" spans="2:4">
      <c r="B17">
        <v>107</v>
      </c>
      <c r="C17" cm="1">
        <f t="array" ref="C17:D17">price_vat(B17)</f>
        <v>100</v>
      </c>
      <c r="D17">
        <v>7</v>
      </c>
    </row>
  </sheetData>
  <pageMargins left="0.7" right="0.7" top="0.75" bottom="0.75" header="0.3" footer="0.3"/>
  <pageSetup paperSize="9" orientation="portrait" r:id="rId1"/>
  <headerFooter>
    <oddHeader>&amp;R&amp;P/&amp;N</oddHeader>
    <oddFooter>&amp;L&amp;8&amp;Z&amp;F&amp;R&amp;8&amp;D &amp;T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I18"/>
  <sheetViews>
    <sheetView zoomScaleNormal="100" workbookViewId="0"/>
  </sheetViews>
  <sheetFormatPr defaultRowHeight="15"/>
  <cols>
    <col min="1" max="1" width="15.42578125" customWidth="1"/>
    <col min="2" max="2" width="7" customWidth="1"/>
    <col min="3" max="6" width="15.7109375" customWidth="1"/>
  </cols>
  <sheetData>
    <row r="1" spans="1:9" ht="15.75" thickBot="1">
      <c r="A1" s="3" t="s">
        <v>0</v>
      </c>
      <c r="B1" s="3" t="s">
        <v>1</v>
      </c>
      <c r="C1" s="3" t="s">
        <v>2</v>
      </c>
      <c r="D1" s="3" t="s">
        <v>27</v>
      </c>
      <c r="E1" s="3" t="s">
        <v>26</v>
      </c>
      <c r="F1" s="4" t="s">
        <v>3</v>
      </c>
      <c r="G1" s="4" t="s">
        <v>22</v>
      </c>
      <c r="I1" s="11" t="str">
        <f>[0]!toCSV(A1:G1)</f>
        <v>ชื่อ,เพศ,ตำแหน่ง,วันเกิด,วันเริ่มงาน,เงินเดือน,โบนัส</v>
      </c>
    </row>
    <row r="2" spans="1:9">
      <c r="A2" s="1" t="s">
        <v>25</v>
      </c>
      <c r="B2" s="1" t="s">
        <v>4</v>
      </c>
      <c r="C2" t="s">
        <v>5</v>
      </c>
      <c r="D2" s="7">
        <v>31231</v>
      </c>
      <c r="E2" s="6">
        <v>36019</v>
      </c>
      <c r="F2" s="2">
        <v>200000</v>
      </c>
      <c r="G2" s="5">
        <f>F2*3</f>
        <v>600000</v>
      </c>
      <c r="I2" s="11" t="str">
        <f t="shared" ref="I2:I13" si="0">[0]!toCSV(A2:G2)</f>
        <v>เอกชาติ,M,ผู้จัดการ,7/3/1985,8/12/1998,200000,600000</v>
      </c>
    </row>
    <row r="3" spans="1:9">
      <c r="A3" s="1" t="s">
        <v>13</v>
      </c>
      <c r="B3" s="1" t="s">
        <v>6</v>
      </c>
      <c r="C3" t="s">
        <v>7</v>
      </c>
      <c r="D3" s="7">
        <v>27755</v>
      </c>
      <c r="E3" s="6">
        <v>35350</v>
      </c>
      <c r="F3" s="2">
        <v>54000</v>
      </c>
      <c r="G3" s="5">
        <f t="shared" ref="G3:G10" si="1">F3*3</f>
        <v>162000</v>
      </c>
      <c r="I3" s="11" t="str">
        <f t="shared" si="0"/>
        <v>เพียงดาว,F,เจ้าหน้าที่อาวุโส,12/27/1975,10/12/1996,54000,162000</v>
      </c>
    </row>
    <row r="4" spans="1:9">
      <c r="A4" s="1" t="s">
        <v>12</v>
      </c>
      <c r="B4" s="1" t="s">
        <v>6</v>
      </c>
      <c r="C4" t="s">
        <v>8</v>
      </c>
      <c r="D4" s="7">
        <v>29796</v>
      </c>
      <c r="E4" s="6">
        <v>36449</v>
      </c>
      <c r="F4" s="2">
        <v>72000</v>
      </c>
      <c r="G4" s="5">
        <f t="shared" si="1"/>
        <v>216000</v>
      </c>
      <c r="I4" s="11" t="str">
        <f t="shared" si="0"/>
        <v>ปลายฟ้า,F,ผู้ช่วยผู้จัดการ,7/29/1981,10/16/1999,72000,216000</v>
      </c>
    </row>
    <row r="5" spans="1:9">
      <c r="A5" s="1" t="s">
        <v>14</v>
      </c>
      <c r="B5" s="1" t="s">
        <v>6</v>
      </c>
      <c r="C5" t="s">
        <v>9</v>
      </c>
      <c r="D5" s="7">
        <v>29777</v>
      </c>
      <c r="E5" s="6">
        <v>36549</v>
      </c>
      <c r="F5" s="2">
        <v>31000</v>
      </c>
      <c r="G5" s="5">
        <f t="shared" si="1"/>
        <v>93000</v>
      </c>
      <c r="I5" s="11" t="str">
        <f t="shared" si="0"/>
        <v>ทอรุ้ง,F,ผู้ชำนาญงาน,7/10/1981,1/24/2000,31000,93000</v>
      </c>
    </row>
    <row r="6" spans="1:9">
      <c r="A6" s="1" t="s">
        <v>15</v>
      </c>
      <c r="B6" s="1" t="s">
        <v>6</v>
      </c>
      <c r="C6" t="s">
        <v>7</v>
      </c>
      <c r="D6" s="7">
        <v>29028</v>
      </c>
      <c r="E6" s="6">
        <v>35048</v>
      </c>
      <c r="F6" s="2">
        <v>50500</v>
      </c>
      <c r="G6" s="5">
        <f t="shared" si="1"/>
        <v>151500</v>
      </c>
      <c r="I6" s="11" t="str">
        <f t="shared" si="0"/>
        <v>ฟ้าใส,F,เจ้าหน้าที่อาวุโส,6/22/1979,12/15/1995,50500,151500</v>
      </c>
    </row>
    <row r="7" spans="1:9">
      <c r="A7" s="1" t="s">
        <v>16</v>
      </c>
      <c r="B7" s="1" t="s">
        <v>6</v>
      </c>
      <c r="C7" t="s">
        <v>5</v>
      </c>
      <c r="D7" s="7">
        <v>27098</v>
      </c>
      <c r="E7" s="6">
        <v>38422</v>
      </c>
      <c r="F7" s="2">
        <v>106000</v>
      </c>
      <c r="G7" s="5">
        <f t="shared" si="1"/>
        <v>318000</v>
      </c>
      <c r="I7" s="11" t="str">
        <f t="shared" si="0"/>
        <v>กอหญ้า,F,ผู้จัดการ,3/10/1974,3/11/2005,106000,318000</v>
      </c>
    </row>
    <row r="8" spans="1:9">
      <c r="A8" s="1" t="s">
        <v>17</v>
      </c>
      <c r="B8" s="1" t="s">
        <v>6</v>
      </c>
      <c r="C8" t="s">
        <v>8</v>
      </c>
      <c r="D8" s="7">
        <v>30145</v>
      </c>
      <c r="E8" s="6">
        <v>34764</v>
      </c>
      <c r="F8" s="2">
        <v>75000</v>
      </c>
      <c r="G8" s="5">
        <f t="shared" si="1"/>
        <v>225000</v>
      </c>
      <c r="I8" s="11" t="str">
        <f t="shared" si="0"/>
        <v>เกนหลง,F,ผู้ช่วยผู้จัดการ,7/13/1982,3/6/1995,75000,225000</v>
      </c>
    </row>
    <row r="9" spans="1:9">
      <c r="A9" s="1" t="s">
        <v>18</v>
      </c>
      <c r="B9" s="1" t="s">
        <v>4</v>
      </c>
      <c r="C9" t="s">
        <v>5</v>
      </c>
      <c r="D9" s="7">
        <v>30184</v>
      </c>
      <c r="E9" s="6">
        <v>39740</v>
      </c>
      <c r="F9" s="2">
        <v>102000</v>
      </c>
      <c r="G9" s="5">
        <f t="shared" si="1"/>
        <v>306000</v>
      </c>
      <c r="I9" s="11" t="str">
        <f t="shared" si="0"/>
        <v>เขมชาติ,M,ผู้จัดการ,8/21/1982,10/19/2008,102000,306000</v>
      </c>
    </row>
    <row r="10" spans="1:9">
      <c r="A10" s="1" t="s">
        <v>19</v>
      </c>
      <c r="B10" s="1" t="s">
        <v>4</v>
      </c>
      <c r="C10" t="s">
        <v>10</v>
      </c>
      <c r="D10" s="7">
        <v>29823</v>
      </c>
      <c r="E10" s="6">
        <v>39783</v>
      </c>
      <c r="F10" s="2">
        <v>18500</v>
      </c>
      <c r="G10" s="5">
        <f t="shared" si="1"/>
        <v>55500</v>
      </c>
      <c r="I10" s="11" t="str">
        <f t="shared" si="0"/>
        <v>เอื้อ,M,พนักงานระดับต้น,8/25/1981,12/1/2008,18500,55500</v>
      </c>
    </row>
    <row r="11" spans="1:9">
      <c r="A11" s="1" t="s">
        <v>11</v>
      </c>
      <c r="B11" s="1" t="s">
        <v>6</v>
      </c>
      <c r="C11" t="s">
        <v>23</v>
      </c>
      <c r="D11" s="7">
        <v>30996</v>
      </c>
      <c r="E11" s="6">
        <v>39808</v>
      </c>
      <c r="F11" s="2">
        <v>77500</v>
      </c>
      <c r="G11" s="5">
        <f>F11*3</f>
        <v>232500</v>
      </c>
      <c r="I11" s="11" t="str">
        <f t="shared" si="0"/>
        <v>พลอยไพลิน,F,พนักงานขาย,11/10/1984,12/26/2008,77500,232500</v>
      </c>
    </row>
    <row r="12" spans="1:9">
      <c r="A12" s="1" t="s">
        <v>20</v>
      </c>
      <c r="B12" s="1" t="s">
        <v>4</v>
      </c>
      <c r="C12" t="s">
        <v>24</v>
      </c>
      <c r="D12" s="7">
        <v>30990</v>
      </c>
      <c r="E12" s="6">
        <v>35370</v>
      </c>
      <c r="F12" s="2">
        <v>73000</v>
      </c>
      <c r="G12" s="5">
        <f>F12*3</f>
        <v>219000</v>
      </c>
      <c r="I12" s="11" t="str">
        <f t="shared" si="0"/>
        <v>ต้นน้ำ,M,สินเชื่อ,11/4/1984,11/1/1996,73000,219000</v>
      </c>
    </row>
    <row r="13" spans="1:9">
      <c r="A13" s="1" t="s">
        <v>21</v>
      </c>
      <c r="B13" s="1" t="s">
        <v>4</v>
      </c>
      <c r="C13" t="s">
        <v>8</v>
      </c>
      <c r="D13" s="7">
        <v>28502</v>
      </c>
      <c r="E13" s="6">
        <v>35896</v>
      </c>
      <c r="F13" s="2">
        <v>74000</v>
      </c>
      <c r="G13" s="5">
        <f>F13*3</f>
        <v>222000</v>
      </c>
      <c r="I13" s="11" t="str">
        <f t="shared" si="0"/>
        <v>เพชร,M,ผู้ช่วยผู้จัดการ,1/12/1978,4/11/1998,74000,222000</v>
      </c>
    </row>
    <row r="15" spans="1:9">
      <c r="C15" t="str">
        <f>[0]!doubleQuote(A13)</f>
        <v>"เพชร"</v>
      </c>
    </row>
    <row r="16" spans="1:9">
      <c r="F16" s="10"/>
    </row>
    <row r="17" spans="3:3">
      <c r="C17" t="str">
        <f>"เอกชาติ""เพียงดาว""ปลายฟ้า""ทอรุ้ง""ฟ้าใส""กอหญ้า""เกนหลง""เขมชาติ""เอื้อ""พลอยไพลิน""ต้นน้ำ""เพชร"</f>
        <v>เอกชาติ"เพียงดาว"ปลายฟ้า"ทอรุ้ง"ฟ้าใส"กอหญ้า"เกนหลง"เขมชาติ"เอื้อ"พลอยไพลิน"ต้นน้ำ"เพชร</v>
      </c>
    </row>
    <row r="18" spans="3:3">
      <c r="C18" t="s">
        <v>34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G7"/>
  <sheetViews>
    <sheetView workbookViewId="0">
      <selection activeCell="J7" sqref="J7"/>
    </sheetView>
  </sheetViews>
  <sheetFormatPr defaultRowHeight="15"/>
  <cols>
    <col min="2" max="6" width="13.42578125" customWidth="1"/>
    <col min="7" max="7" width="11.28515625" bestFit="1" customWidth="1"/>
  </cols>
  <sheetData>
    <row r="1" spans="1:7" ht="22.5">
      <c r="A1" s="9" t="s">
        <v>33</v>
      </c>
    </row>
    <row r="3" spans="1:7">
      <c r="B3" t="s">
        <v>28</v>
      </c>
      <c r="C3" s="8" t="s">
        <v>29</v>
      </c>
      <c r="D3" s="8" t="s">
        <v>30</v>
      </c>
      <c r="E3" s="8" t="s">
        <v>31</v>
      </c>
      <c r="F3" s="8" t="s">
        <v>32</v>
      </c>
    </row>
    <row r="5" spans="1:7">
      <c r="B5" t="str">
        <f>[0]!xtrim(B3)</f>
        <v>สินทรัพย์รวม</v>
      </c>
      <c r="C5" t="str">
        <f t="shared" ref="C5:F5" si="0">[0]!xtrim(C3)</f>
        <v>374,738.12</v>
      </c>
      <c r="D5" t="str">
        <f t="shared" si="0"/>
        <v>395,573.14</v>
      </c>
      <c r="E5" t="str">
        <f t="shared" si="0"/>
        <v>440,435.81</v>
      </c>
      <c r="F5" t="str">
        <f t="shared" si="0"/>
        <v>465,822.63</v>
      </c>
      <c r="G5" s="11" t="str">
        <f ca="1">_xlfn.FORMULATEXT(F5)</f>
        <v>=@PKUtil.xlsm!xtrim(F3)</v>
      </c>
    </row>
    <row r="6" spans="1:7">
      <c r="C6">
        <f>[0]!xvalue(C3)</f>
        <v>374738.12</v>
      </c>
      <c r="D6">
        <f t="shared" ref="D6:F6" si="1">[0]!xvalue(D3)</f>
        <v>395573.14</v>
      </c>
      <c r="E6">
        <f t="shared" si="1"/>
        <v>440435.81</v>
      </c>
      <c r="F6">
        <f t="shared" si="1"/>
        <v>465822.63</v>
      </c>
      <c r="G6" s="11" t="str">
        <f ca="1">_xlfn.FORMULATEXT(F6)</f>
        <v>=@PKUtil.xlsm!xvalue(F3)</v>
      </c>
    </row>
    <row r="7" spans="1:7">
      <c r="C7" s="1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5"/>
  <sheetViews>
    <sheetView workbookViewId="0">
      <selection activeCell="E5" sqref="E5"/>
    </sheetView>
  </sheetViews>
  <sheetFormatPr defaultRowHeight="15"/>
  <cols>
    <col min="3" max="3" width="14.42578125" customWidth="1"/>
    <col min="4" max="4" width="13.42578125" customWidth="1"/>
  </cols>
  <sheetData>
    <row r="1" spans="1:5">
      <c r="A1" t="s">
        <v>35</v>
      </c>
    </row>
    <row r="2" spans="1:5">
      <c r="C2" s="10" t="s">
        <v>36</v>
      </c>
      <c r="D2" t="str" cm="1">
        <f t="array" ref="D2">removeNondigit(C2)</f>
        <v>375</v>
      </c>
    </row>
    <row r="3" spans="1:5">
      <c r="C3" s="12" t="s">
        <v>37</v>
      </c>
      <c r="D3" t="str" cm="1">
        <f t="array" ref="D3">removeNondigit(C3)</f>
        <v>12,780.75</v>
      </c>
      <c r="E3">
        <f>_xlfn.NUMBERVALUE(D3)</f>
        <v>12780.75</v>
      </c>
    </row>
    <row r="4" spans="1:5">
      <c r="C4" t="s">
        <v>38</v>
      </c>
      <c r="D4" t="str" cm="1">
        <f t="array" ref="D4">removeNondigit(C4)</f>
        <v>12.780,75</v>
      </c>
      <c r="E4">
        <f>_xlfn.NUMBERVALUE(D4,",",".")</f>
        <v>12780.75</v>
      </c>
    </row>
    <row r="5" spans="1:5">
      <c r="C5" t="s">
        <v>39</v>
      </c>
      <c r="D5" t="str" cm="1">
        <f t="array" ref="D5">removeNondigit(C5)</f>
        <v>123,456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Unicode</vt:lpstr>
      <vt:lpstr>trim non breaking space</vt:lpstr>
      <vt:lpstr>remove non numerical char</vt:lpstr>
      <vt:lpstr>Unicode!_data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Prasert Utility Function</dc:title>
  <dc:creator>prasert</dc:creator>
  <cp:keywords>VBA</cp:keywords>
  <cp:lastModifiedBy>Prasert Kanawattanachai</cp:lastModifiedBy>
  <dcterms:created xsi:type="dcterms:W3CDTF">2011-04-24T06:05:42Z</dcterms:created>
  <dcterms:modified xsi:type="dcterms:W3CDTF">2021-09-17T06:20:38Z</dcterms:modified>
  <cp:category>Add-in</cp:category>
</cp:coreProperties>
</file>